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<sst xmlns="http://schemas.openxmlformats.org/spreadsheetml/2006/main" count="297" uniqueCount="207">
  <si>
    <t>PRODUCT BACKLOG</t>
  </si>
  <si>
    <t>PO chọn Đồng ý hoặc Không đồng ý ở cột B. Ô trống nghĩa là chưa duyệt. Ghi chú riêng ở cột J.</t>
  </si>
  <si>
    <t>Nguồn: PRD Markdown, chương 3–4. Ngày đối chiếu 18/10/2026. https://github.com/HuyTec/CNPM-Multilingual-Audio-Guide-2026-2027/blob/main/docs/en/PRD_Report.md</t>
  </si>
  <si>
    <t>Tổng story</t>
  </si>
  <si>
    <t>Đồng ý</t>
  </si>
  <si>
    <t>Không đồng ý</t>
  </si>
  <si>
    <t>Chưa duyệt</t>
  </si>
  <si>
    <t>5 Epic chức năng. Ưu tiên là đề xuất để PO duyệt; chưa ấn định Sprint, story points hoặc người thực hiện.</t>
  </si>
  <si>
    <t>Story ID</t>
  </si>
  <si>
    <t>Approve (PO)</t>
  </si>
  <si>
    <t>Epic PRD / Jira</t>
  </si>
  <si>
    <t>Tên user story</t>
  </si>
  <si>
    <t>User story</t>
  </si>
  <si>
    <t>Tiêu chí nghiệm thu</t>
  </si>
  <si>
    <t>Truy vết PRD</t>
  </si>
  <si>
    <t>Ưu tiên đề xuất</t>
  </si>
  <si>
    <t>Phụ thuộc</t>
  </si>
  <si>
    <t>Ghi chú của PO</t>
  </si>
  <si>
    <t>US-01</t>
  </si>
  <si>
    <t>HVP-1
Khám phá và chọn địa điểm</t>
  </si>
  <si>
    <t>Tìm địa điểm lân cận</t>
  </si>
  <si>
    <t>Là du khách, tôi muốn xem các điểm tham quan gần mình để chọn điểm đến thuận tiện.</t>
  </si>
  <si>
    <t>1. Giải thích và xin quyền khi chưa xác định; lấy tọa độ và accuracy.
2. Tìm trong bán kính 100–500 m, xếp gần trước, hiển thị khoảng cách và nhóm [3–5] gần nhất trước.
3. Không có kết quả: báo trống, cho mở rộng bán kính hoặc tìm thủ công. Thiếu GPS: Mở cài đặt, không chặn cách tìm khác.</t>
  </si>
  <si>
    <t>FR-01; UC-01 bước 1–8, E1/E2, BR1–3</t>
  </si>
  <si>
    <t>Cao</t>
  </si>
  <si>
    <t>Dữ liệu địa điểm đã kiểm chứng; OS Location</t>
  </si>
  <si>
    <t>US-02</t>
  </si>
  <si>
    <t>Tìm địa điểm bằng từ khóa</t>
  </si>
  <si>
    <t>Là du khách, tôi muốn tìm bằng từ khóa để nhanh chóng chọn địa điểm mình quan tâm.</t>
  </si>
  <si>
    <t>1. Hiển thị kết quả khớp; chọn kết quả mở chi tiết đúng locationId.
2. Không khớp: Empty State và gợi ý từ khóa khác hoặc địa điểm phổ biến.
3. Dùng được khi từ chối GPS; ngoại tuyến tìm trong Base Content.</t>
  </si>
  <si>
    <t>FR-02; UC-01 A1/E3, BR3; NFR-04</t>
  </si>
  <si>
    <t>Dữ liệu địa điểm/Base Content</t>
  </si>
  <si>
    <t>US-03</t>
  </si>
  <si>
    <t>Duyệt địa điểm theo danh mục</t>
  </si>
  <si>
    <t>Là du khách, tôi muốn duyệt theo danh mục để chọn điểm tham quan phù hợp sở thích.</t>
  </si>
  <si>
    <t>1. Chọn danh mục hiển thị đúng các địa điểm; chọn địa điểm mở chi tiết đúng ID.
2. Danh mục rỗng: Empty State và gợi ý danh mục khác hoặc địa điểm phổ biến.
3. Không bắt buộc GPS; duyệt được dữ liệu Base Content khi ngoại tuyến.</t>
  </si>
  <si>
    <t>FR-02; UC-01 A3/E4, BR2/3; NFR-04</t>
  </si>
  <si>
    <t>Catalog danh mục và địa điểm</t>
  </si>
  <si>
    <t>US-04</t>
  </si>
  <si>
    <t>Chọn địa điểm trên bản đồ</t>
  </si>
  <si>
    <t>Là du khách, tôi muốn duyệt bản đồ và chọn marker để mở chi tiết địa điểm muốn khám phá.</t>
  </si>
  <si>
    <t>1. Bản đồ hỗ trợ pan/zoom và marker ứng với địa điểm.
2. Chọn marker mở chi tiết đúng locationId; vẫn chọn thủ công khi từ chối GPS.
3. Bản đồ dùng mạng; ngoại tuyến tiếp tục khám phá qua danh sách.</t>
  </si>
  <si>
    <t>FR-02; UC-01 A2, BR3; NFR-04</t>
  </si>
  <si>
    <t>Vừa</t>
  </si>
  <si>
    <t>Map Service; dữ liệu tọa độ</t>
  </si>
  <si>
    <t>US-05</t>
  </si>
  <si>
    <t>Nhận gợi ý khi vào khu vực địa điểm</t>
  </si>
  <si>
    <t>Là du khách, tôi muốn được báo khi vào vùng địa điểm để không bỏ lỡ điểm tham quan gần đó.</t>
  </si>
  <si>
    <t>1. Vào geofence hợp lệ: kiểm tra cooldown theo từng địa điểm trước khi báo.
2. Nền: thông báo OS nếu có quyền; tiền cảnh: In-App Banner. Thiếu quyền vị trí không theo dõi geofence.
3. Nội dung báo dùng tên đã kiểm chứng, ngôn ngữ ứng dụng và locationId.</t>
  </si>
  <si>
    <t>FR-03; UC-05 bước 1–4, A1/A3, E1/E2, BR1–4</t>
  </si>
  <si>
    <t>OS Geofencing/Notification; dữ liệu cục bộ</t>
  </si>
  <si>
    <t>US-06</t>
  </si>
  <si>
    <t>Mở địa điểm từ thông báo</t>
  </si>
  <si>
    <t>Là du khách, tôi muốn chạm thông báo hoặc banner để xem đúng điểm tham quan được gợi ý.</t>
  </si>
  <si>
    <t>1. Chọn thông báo/banner mở Location Details theo locationId đính kèm.
2. Không chọn thì không điều hướng.
3. UC-02 tải nội dung theo trigger riêng sau khi mở chi tiết; không tự phát audio.</t>
  </si>
  <si>
    <t>FR-03; UC-05 bước 5–6, A1/A2, BR2</t>
  </si>
  <si>
    <t>US-05; đích Location Details</t>
  </si>
  <si>
    <t>US-07</t>
  </si>
  <si>
    <t>HVP-3
Hướng dẫn và audio</t>
  </si>
  <si>
    <t>Đọc nội dung hướng dẫn đã duyệt</t>
  </si>
  <si>
    <t>Là du khách, tôi muốn đọc hướng dẫn đáng tin cậy cho địa điểm đã chọn để hiểu về nơi tham quan.</t>
  </si>
  <si>
    <t>1. Nhận locationId, ngôn ngữ hiện tại và mặc định FULL; chỉ hiển thị APPROVED.
2. Online lấy từ server; offline lấy nội dung cơ bản hoặc gói đã cài.
3. Không có nội dung được duyệt: thông báo đang cập nhật và vô hiệu hóa Listen.</t>
  </si>
  <si>
    <t>FR-04; UC-02 luồng chính, E2, BR1</t>
  </si>
  <si>
    <t>Location Details; nội dung APPROVED</t>
  </si>
  <si>
    <t>US-08</t>
  </si>
  <si>
    <t>Đổi ngôn ngữ hướng dẫn</t>
  </si>
  <si>
    <t>Là du khách, tôi muốn đổi ngôn ngữ hướng dẫn để đọc và nghe bằng ngôn ngữ phù hợp.</t>
  </si>
  <si>
    <t>1. Đổi ngôn ngữ giữ nguyên locationId và FULL/SHORT.
2. Thiếu bản dịch: thông báo, tìm APPROVED theo thứ tự ngôn ngữ chọn, EN, VI.
3. Không còn nội dung được duyệt thì xử lý như UC-02 E2.</t>
  </si>
  <si>
    <t>FR-04; UC-02 A1/E1/E2, BR2</t>
  </si>
  <si>
    <t>US-07; danh sách ngôn ngữ hỗ trợ</t>
  </si>
  <si>
    <t>US-09</t>
  </si>
  <si>
    <t>Chọn hướng dẫn đầy đủ hoặc tóm tắt</t>
  </si>
  <si>
    <t>Là du khách, tôi muốn chọn FULL hoặc SHORT để đọc lượng thông tin phù hợp thời gian của mình.</t>
  </si>
  <si>
    <t>1. Mặc định FULL; chọn SHORT tải scriptType tương ứng.
2. Đổi chế độ giữ nguyên địa điểm và ngôn ngữ; chỉ cung cấp APPROVED.
3. Thiếu nội dung xử lý theo UC-02 E1/E2.</t>
  </si>
  <si>
    <t>FR-04; UC-02 A2, E1/E2</t>
  </si>
  <si>
    <t>US-07; kịch bản FULL/SHORT</t>
  </si>
  <si>
    <t>US-10</t>
  </si>
  <si>
    <t>Nghe audio hướng dẫn</t>
  </si>
  <si>
    <t>Là du khách, tôi muốn phát audio của hướng dẫn đang xem để nghe thuyết minh khi tham quan.</t>
  </si>
  <si>
    <t>1. Chọn Play sau khi có script hợp lệ; ưu tiên audio tạo sẵn nếu dùng được.
2. Audio khớp locationId, languageCode và scriptType đang hiển thị.
3. Hiển thị Playing và vị trí phát; không tự phát chỉ vì mở chi tiết.</t>
  </si>
  <si>
    <t>FR-05; UC-03 luồng chính, BR1/2</t>
  </si>
  <si>
    <t>US-07–09; audio tương ứng</t>
  </si>
  <si>
    <t>US-11</t>
  </si>
  <si>
    <t>Điều khiển phiên nghe</t>
  </si>
  <si>
    <t>Là du khách, tôi muốn tạm dừng, nghe tiếp, tua và đổi tốc độ để chủ động theo dõi hướng dẫn.</t>
  </si>
  <si>
    <t>1. Pause/Resume giữ đúng vị trí phát.
2. Tua tiến/lùi và đổi tốc độ cập nhật ngay trạng thái phiên nghe.</t>
  </si>
  <si>
    <t>FR-05; UC-03 A1</t>
  </si>
  <si>
    <t>US-12</t>
  </si>
  <si>
    <t>Nghe bằng TTS khi audio không dùng được</t>
  </si>
  <si>
    <t>Là du khách, tôi muốn nghe giọng đọc dự phòng để tiếp tục nghe khi audio bị thiếu hoặc lỗi.</t>
  </si>
  <si>
    <t>1. Audio không tìm thấy hoặc không phát được thì dùng OS TTS.
2. TTS đọc scriptText đã tải bởi UC-02, đúng nội dung/ngôn ngữ đang dùng.
3. Ngoại tuyến dùng script đã có và giọng TTS thiết bị phù hợp.</t>
  </si>
  <si>
    <t>FR-05; UC-03 E1, BR1/2; NFR-04</t>
  </si>
  <si>
    <t>US-07/10; OS TTS và giọng phù hợp</t>
  </si>
  <si>
    <t>US-13</t>
  </si>
  <si>
    <t>Giữ phiên nghe khi bị gián đoạn</t>
  </si>
  <si>
    <t>Là du khách, tôi muốn giữ vị trí đang nghe khi có cuộc gọi hoặc ứng dụng khác chiếm âm thanh để tiếp tục sau đó.</t>
  </si>
  <si>
    <t>1. Mất audio focus thì tạm dừng và lưu vị trí hiện tại.
2. Khi audio focus trở lại, có thể nghe tiếp từ vị trí đã lưu.</t>
  </si>
  <si>
    <t>FR-05; UC-03 E2</t>
  </si>
  <si>
    <t>US-10; cơ chế audio focus của OS</t>
  </si>
  <si>
    <t>US-14</t>
  </si>
  <si>
    <t>HVP-4
Trải nghiệm ngoại tuyến</t>
  </si>
  <si>
    <t>Dùng nội dung cơ bản ngay khi ngoại tuyến</t>
  </si>
  <si>
    <t>Là du khách, tôi muốn có sẵn nội dung cơ bản sau khi cài ứng dụng để tham quan ngay cả khi không có mạng.</t>
  </si>
  <si>
    <t>1. Cài mới đã có dữ liệu địa điểm và hướng dẫn cơ bản; không bắt tải gói trước.
2. Tìm/duyệt danh mục, đọc hướng dẫn và nghe audio sẵn có hoặc TTS dùng dữ liệu cục bộ.
3. Nội dung cơ bản được bảo vệ khỏi thao tác xóa.</t>
  </si>
  <si>
    <t>FR-06/08; UC-04 tiền điều kiện, BR-01; NFR-04</t>
  </si>
  <si>
    <t>Gói Base Content đã kiểm chứng; module đọc/phát cục bộ</t>
  </si>
  <si>
    <t>US-15</t>
  </si>
  <si>
    <t>Kiểm tra phiên bản và cập nhật nội dung</t>
  </si>
  <si>
    <t>Là du khách, tôi muốn biết nội dung đã cài có bản mới hay chưa để quyết định cập nhật.</t>
  </si>
  <si>
    <t>1. Hiển thị nội dung và phiên bản đã cài; khi có mạng so sánh gói APPROVED mới hơn.
2. Có bản mới: hiển thị nội dung thay đổi và dung lượng cần tải.
3. Không có bản mới: báo đã cập nhật, không thay đổi dữ liệu.</t>
  </si>
  <si>
    <t>FR-06; UC-04 bước 1–3, A1, BR-03</t>
  </si>
  <si>
    <t>Phiên bản cục bộ; server gói đã xuất bản</t>
  </si>
  <si>
    <t>US-16</t>
  </si>
  <si>
    <t>Cập nhật gói nội dung an toàn</t>
  </si>
  <si>
    <t>Là du khách, tôi muốn cài bản cập nhật đã kiểm chứng để có nội dung mới mà không mất bản đang sử dụng nếu có lỗi.</t>
  </si>
  <si>
    <t>1. Chỉ tải khi xác nhận và đủ bộ nhớ; hiển thị tiến độ.
2. Xác minh gói APPROVED, cài nguyên tử dữ liệu/script/audio tương ứng rồi lưu phiên bản.
3. Hủy/thiếu bộ nhớ/gói lỗi giữ bản cũ. Mất mạng bỏ dữ liệu tải dở và cho tải lại sau.</t>
  </si>
  <si>
    <t>FR-07/08; UC-04 bước 4–7, A3, E1–3, BR-02/04</t>
  </si>
  <si>
    <t>US-15; manifest/checksum/chữ ký gói</t>
  </si>
  <si>
    <t>US-17</t>
  </si>
  <si>
    <t>Tải thêm nội dung tùy chọn</t>
  </si>
  <si>
    <t>Là du khách, tôi muốn chọn tải thêm gói nội dung tùy chọn để chuẩn bị cho những địa điểm khác.</t>
  </si>
  <si>
    <t>1. Chọn gói tùy chọn đã xuất bản và xem dung lượng trước khi xác nhận tải.
2. Gói được kiểm tra/cài an toàn như cập nhật; không dùng DRAFT/PENDING_REVIEW.
3. Hủy hoặc thất bại không làm mất nội dung đã cài.</t>
  </si>
  <si>
    <t>FR-06/07; PRD §2.1; UC-04 mục tiêu, BR-02/04</t>
  </si>
  <si>
    <t>US-16; danh mục gói tùy chọn từ server</t>
  </si>
  <si>
    <t>US-18</t>
  </si>
  <si>
    <t>Xóa nội dung tùy chọn đã tải</t>
  </si>
  <si>
    <t>Là du khách, tôi muốn xóa nội dung tải thêm không còn cần để giải phóng bộ nhớ.</t>
  </si>
  <si>
    <t>1. Chỉ liệt kê nội dung tùy chọn được phép xóa; hỏi xác nhận.
2. Xác nhận thì xóa phần đã chọn và cập nhật trạng thái; hủy không đổi dữ liệu.
3. Không xóa Base Content; thao tác không yêu cầu mạng.</t>
  </si>
  <si>
    <t>FR-08; UC-04 A2, BR-01</t>
  </si>
  <si>
    <t>Phân biệt Base Content và nội dung tùy chọn</t>
  </si>
  <si>
    <t>US-19</t>
  </si>
  <si>
    <t>HVP-5
Quản lý nội dung</t>
  </si>
  <si>
    <t>Tìm và mở địa điểm cần biên tập</t>
  </si>
  <si>
    <t>Là Content Admin, tôi muốn chọn địa điểm hiện có hoặc tạo mới để bắt đầu biên tập đúng nội dung.</t>
  </si>
  <si>
    <t>1. Hiển thị danh sách địa điểm cho Admin có quyền.
2. Chọn địa điểm tải đúng dữ liệu vào form; Thêm mới mở form mới.</t>
  </si>
  <si>
    <t>FR-09; UC-06 bước 1–2, A2</t>
  </si>
  <si>
    <t>Phiên Admin được xác thực/phân quyền bên ngoài</t>
  </si>
  <si>
    <t>US-20</t>
  </si>
  <si>
    <t>Tạo và sửa thông tin địa điểm</t>
  </si>
  <si>
    <t>Là Content Admin, tôi muốn nhập thông tin địa điểm để cung cấp dữ liệu nhận diện và vị trí chính xác.</t>
  </si>
  <si>
    <t>1. Biên tập tên bản địa hóa, danh mục, latitude, longitude và geofenceRadius.
2. Form sửa hiển thị dữ liệu hiện có; lưu không làm mất các nội dung không chỉnh sửa.
3. Bản đã xuất bản vẫn phục vụ Mobile trong khi bản thay thế chờ duyệt.</t>
  </si>
  <si>
    <t>FR-09; UC-06 bước 3–4, A2, BR4</t>
  </si>
  <si>
    <t>US-19; danh mục/ngôn ngữ đã cấu hình</t>
  </si>
  <si>
    <t>US-21</t>
  </si>
  <si>
    <t>Biên tập kịch bản đa ngôn ngữ</t>
  </si>
  <si>
    <t>Là Content Admin, tôi muốn viết kịch bản FULL/SHORT cho từng ngôn ngữ để du khách nhận đúng nội dung.</t>
  </si>
  <si>
    <t>1. Biên tập kịch bản theo từng ngôn ngữ và FULL/SHORT.
2. Mỗi kịch bản gắn locationId + languageCode + scriptType.
3. Sửa một kịch bản giữ các biến thể khác.</t>
  </si>
  <si>
    <t>FR-09; UC-06 bước 5–6, BR3</t>
  </si>
  <si>
    <t>US-19/20; ngôn ngữ hỗ trợ</t>
  </si>
  <si>
    <t>US-22</t>
  </si>
  <si>
    <t>Upload và nghe thử audio tương ứng</t>
  </si>
  <si>
    <t>Là Content Admin, tôi muốn tải và nghe thử audio theo kịch bản để kiểm tra nội dung trước khi gửi duyệt.</t>
  </si>
  <si>
    <t>1. Audio gắn đúng địa điểm/ngôn ngữ/FULL hoặc SHORT; có nghe thử.
2. Kiểm tra định dạng; file sai/lỗi upload hiển thị lỗi, giữ form và cho chọn lại/thử lại.
3. Thay audio một ngôn ngữ không ghi đè dữ liệu khác.</t>
  </si>
  <si>
    <t>FR-09; UC-06 bước 7–10, E1, A2, BR3</t>
  </si>
  <si>
    <t>US-21; dịch vụ lưu audio</t>
  </si>
  <si>
    <t>US-23</t>
  </si>
  <si>
    <t>Lưu nội dung đang soạn thành nháp</t>
  </si>
  <si>
    <t>Là Content Admin, tôi muốn lưu bản nháp chưa hoàn thiện để tiếp tục biên tập vào lần sau.</t>
  </si>
  <si>
    <t>1. Save Draft lưu DRAFT kể cả chưa đủ trường bắt buộc.
2. Bản nháp không được cung cấp cho Mobile; ghi updatedBy và updatedAt.
3. Nếu có bản published, lưu nháp không thay thế bản đó.</t>
  </si>
  <si>
    <t>FR-10/11; UC-06 A1, BR1/2/4</t>
  </si>
  <si>
    <t>US-20/21; dữ liệu làm việc</t>
  </si>
  <si>
    <t>US-24</t>
  </si>
  <si>
    <t>Gửi nội dung hợp lệ để chờ duyệt</t>
  </si>
  <si>
    <t>Là Content Admin, tôi muốn gửi nội dung đã hoàn thiện để bên duyệt xem xét trước khi xuất bản.</t>
  </si>
  <si>
    <t>1. Kiểm tra tên, danh mục, tọa độ và bán kính; thiếu/sai thì chặn gửi, chỉ rõ trường và giữ form.
2. Hợp lệ thì lưu PENDING_REVIEW, updatedBy và updatedAt.
3. Không tự chuyển APPROVED hoặc xuất bản; giữ bản published đang dùng.</t>
  </si>
  <si>
    <t>FR-10/11; UC-06 bước 11–13, E2, BR1/2/4</t>
  </si>
  <si>
    <t>US-20/21; Content Publication Service bên ngoài</t>
  </si>
  <si>
    <t>US-25</t>
  </si>
  <si>
    <t>Sửa nội dung cũ hoặc bị trả về</t>
  </si>
  <si>
    <t>Là Content Admin, tôi muốn sửa nội dung hiện có hoặc REJECTED để lưu nháp hay gửi duyệt lại mà không gián đoạn bản đang phục vụ.</t>
  </si>
  <si>
    <t>1. Tải bản hiện có, chỉnh phần cần thay; giữ những dữ liệu khác.
2. Nội dung REJECTED có thể sửa rồi lưu DRAFT hoặc gửi lại PENDING_REVIEW.
3. Ghi người/thời điểm cập nhật; giữ bản published đến khi bản thay thế được duyệt và xuất bản.</t>
  </si>
  <si>
    <t>FR-10/11; UC-06 A2, BR4</t>
  </si>
  <si>
    <t>US-23/24; nhận trạng thái từ dịch vụ xuất bản</t>
  </si>
  <si>
    <t>US-26</t>
  </si>
  <si>
    <t>HVP-6
Thống kê và phản hồi</t>
  </si>
  <si>
    <t>Xem bốn chỉ số sử dụng theo kỳ</t>
  </si>
  <si>
    <t>Là System Admin hoặc PO, tôi muốn xem thống kê sử dụng theo thời gian để đánh giá trải nghiệm hướng dẫn.</t>
  </si>
  <si>
    <t>1. Mặc định 30 ngày; đổi kỳ thì tải lại dữ liệu.
2. Có Total Playbacks, Top Locations, Language Distribution và Offline/Online Usage Ratio.
3. Kỳ không có dữ liệu hiển thị Empty State thay biểu đồ.</t>
  </si>
  <si>
    <t>FR-12; UC-07 bước 1–2, A1/E1, BR1/3</t>
  </si>
  <si>
    <t>Phiên Admin có quyền; dữ liệu analytics bên ngoài</t>
  </si>
  <si>
    <t>US-27</t>
  </si>
  <si>
    <t>Xem danh sách phản hồi</t>
  </si>
  <si>
    <t>Là System Admin hoặc PO, tôi muốn xem danh sách phản hồi gần đây để biết các vấn đề và đề xuất của du khách.</t>
  </si>
  <si>
    <t>1. Danh sách có category, content, rating và status; hỗ trợ phân trang.
2. Không có bản ghi trong kỳ/bộ lọc thì hiển thị Empty State.</t>
  </si>
  <si>
    <t>FR-13; UC-07 bước 3, E1</t>
  </si>
  <si>
    <t>Admin có quyền; nguồn feedback bên ngoài</t>
  </si>
  <si>
    <t>US-28</t>
  </si>
  <si>
    <t>Lọc phản hồi theo nhu cầu xử lý</t>
  </si>
  <si>
    <t>Là System Admin hoặc PO, tôi muốn lọc phản hồi theo danh mục và trạng thái để tập trung vào công việc cần xử lý.</t>
  </si>
  <si>
    <t>1. Lọc theo category và status, chỉ hiển thị bản ghi khớp.
2. Không khớp thì Empty State; xuất báo cáo áp dụng bộ lọc đang bật.</t>
  </si>
  <si>
    <t>FR-13/14; UC-07 A2/A3, E1</t>
  </si>
  <si>
    <t>US-29</t>
  </si>
  <si>
    <t>Xem chi tiết phản hồi</t>
  </si>
  <si>
    <t>Là System Admin hoặc PO, tôi muốn mở một phản hồi để hiểu đầy đủ nội dung và đánh giá trước khi xử lý.</t>
  </si>
  <si>
    <t>1. Chọn bản ghi mở đúng nội dung, rating, category và trạng thái hiện tại.
2. Thông tin chi tiết ứng với đúng feedbackId đã chọn.</t>
  </si>
  <si>
    <t>FR-13; UC-07 bước 4</t>
  </si>
  <si>
    <t>US-30</t>
  </si>
  <si>
    <t>Cập nhật tiến độ xử lý phản hồi</t>
  </si>
  <si>
    <t>Là System Admin hoặc PO, tôi muốn cập nhật trạng thái phản hồi để theo dõi quá trình xử lý đến khi hoàn tất.</t>
  </si>
  <si>
    <t>1. Chỉ chuyển NEW sang IN_REVIEW rồi RESOLVED; không bỏ bước hoặc mở lại RESOLVED.
2. Lưu trạng thái mới và thời điểm cập nhật; chỉ Admin có quyền thao tác.</t>
  </si>
  <si>
    <t>FR-13; UC-07 bước 5, BR1/2; FR-13 §3.5</t>
  </si>
  <si>
    <t>US-31</t>
  </si>
  <si>
    <t>Xuất báo cáo thống kê và phản hồi</t>
  </si>
  <si>
    <t>Là System Admin hoặc PO, tôi muốn xuất báo cáo Excel để tổng hợp và chia sẻ kết quả của kỳ đang xem.</t>
  </si>
  <si>
    <t>1. Xuất .xlsx chứa thống kê và phản hồi theo kỳ hiện tại, áp dụng bộ lọc phản hồi.
2. Xuất lỗi thì báo lỗi và cho thử lại; không thay đổi dữ liệu đã lưu.</t>
  </si>
  <si>
    <t>FR-14; UC-07 A3/E2</t>
  </si>
  <si>
    <t>US-26/28; quyền tải báo cáo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</si>
</sst>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name val="Carlito"/>
      <charset val="134"/>
    </font>
    <font>
      <sz val="10"/>
      <color rgb="FF172B4D"/>
      <name val="Arial"/>
      <charset val="134"/>
    </font>
    <font>
      <b/>
      <sz val="15"/>
      <color rgb="FF172B4D"/>
      <name val="Arial"/>
      <charset val="134"/>
    </font>
    <font>
      <i/>
      <sz val="9"/>
      <color rgb="FF566579"/>
      <name val="Arial"/>
      <charset val="134"/>
    </font>
    <font>
      <b/>
      <sz val="10"/>
      <color rgb="FF172B4D"/>
      <name val="Arial"/>
      <charset val="134"/>
    </font>
    <font>
      <b/>
      <sz val="10"/>
      <color rgb="FFFFFFFF"/>
      <name val="Arial"/>
      <charset val="134"/>
    </font>
    <font>
      <sz val="10"/>
      <color rgb="FF7251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43F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medium">
        <color rgb="FF8EA4B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" fontId="4" fillId="0" borderId="0" xfId="0" applyNumberFormat="1" applyFont="1" applyFill="1" applyBorder="1" applyAlignment="1">
      <alignment horizontal="left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vertical="top" wrapText="1"/>
    </xf>
    <xf numFmtId="0" fontId="6" fillId="4" borderId="4" xfId="0" applyNumberFormat="1" applyFont="1" applyFill="1" applyBorder="1" applyAlignment="1">
      <alignment vertical="top" wrapText="1"/>
    </xf>
    <xf numFmtId="0" fontId="1" fillId="5" borderId="4" xfId="0" applyNumberFormat="1" applyFont="1" applyFill="1" applyBorder="1" applyAlignment="1">
      <alignment vertical="top" wrapText="1"/>
    </xf>
    <xf numFmtId="0" fontId="1" fillId="6" borderId="0" xfId="0" applyNumberFormat="1" applyFont="1" applyFill="1" applyBorder="1" applyAlignment="1">
      <alignment vertical="top" wrapText="1"/>
    </xf>
    <xf numFmtId="0" fontId="6" fillId="4" borderId="0" xfId="0" applyNumberFormat="1" applyFont="1" applyFill="1" applyBorder="1" applyAlignment="1">
      <alignment vertical="top" wrapText="1"/>
    </xf>
    <xf numFmtId="0" fontId="1" fillId="5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1" fillId="6" borderId="4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205B36"/>
      </font>
      <fill>
        <patternFill patternType="solid">
          <bgColor rgb="FFDDEDE1"/>
        </patternFill>
      </fill>
    </dxf>
    <dxf>
      <font>
        <b val="1"/>
        <color rgb="FF8E2E2E"/>
      </font>
      <fill>
        <patternFill patternType="solid">
          <bgColor rgb="FFF8DFD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ductBacklogTable" displayName="ProductBacklogTable" ref="A8:J39" totalsRowShown="0">
  <autoFilter xmlns:etc="http://www.wps.cn/officeDocument/2017/etCustomData" ref="A8:J39" etc:filterBottomFollowUsedRange="0"/>
  <tableColumns count="10">
    <tableColumn id="1" name="Story ID"/>
    <tableColumn id="2" name="Approve (PO)"/>
    <tableColumn id="3" name="Epic PRD / Jira"/>
    <tableColumn id="4" name="Tên user story"/>
    <tableColumn id="5" name="User story"/>
    <tableColumn id="6" name="Tiêu chí nghiệm thu"/>
    <tableColumn id="7" name="Truy vết PRD"/>
    <tableColumn id="8" name="Ưu tiên đề xuất"/>
    <tableColumn id="9" name="Phụ thuộc"/>
    <tableColumn id="10" name="Ghi chú của 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3F60"/>
  </sheetPr>
  <dimension ref="A1:J39"/>
  <sheetViews>
    <sheetView showGridLines="0" tabSelected="1" zoomScale="85" zoomScaleNormal="85" workbookViewId="0">
      <pane xSplit="3" ySplit="8" topLeftCell="D22" activePane="bottomRight" state="frozen"/>
      <selection/>
      <selection pane="topRight"/>
      <selection pane="bottomLeft"/>
      <selection pane="bottomRight" activeCell="D24" sqref="D24"/>
    </sheetView>
  </sheetViews>
  <sheetFormatPr defaultColWidth="9" defaultRowHeight="14.4"/>
  <cols>
    <col min="1" max="1" width="10.25" customWidth="1"/>
    <col min="2" max="2" width="18" customWidth="1"/>
    <col min="3" max="3" width="25" customWidth="1"/>
    <col min="4" max="4" width="28.75" customWidth="1"/>
    <col min="5" max="5" width="53.75" customWidth="1"/>
    <col min="6" max="6" width="67.5" customWidth="1"/>
    <col min="7" max="7" width="25.6296296296296" customWidth="1"/>
    <col min="8" max="8" width="14.75" customWidth="1"/>
    <col min="9" max="9" width="26.25" customWidth="1"/>
    <col min="10" max="10" width="28.7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</row>
    <row r="3" ht="18" customHeight="1" spans="1:10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ht="16.5" customHeight="1" spans="1:10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</row>
    <row r="5" ht="21" customHeight="1" spans="1:10">
      <c r="A5" s="1" t="s">
        <v>3</v>
      </c>
      <c r="B5" s="4">
        <f xml:space="preserve">COUNTA(A9:A39)</f>
        <v>31</v>
      </c>
      <c r="C5" s="1" t="s">
        <v>4</v>
      </c>
      <c r="D5" s="4">
        <f xml:space="preserve">COUNTIFS(B9:B39,"Đồng ý")</f>
        <v>31</v>
      </c>
      <c r="E5" s="1" t="s">
        <v>5</v>
      </c>
      <c r="F5" s="4">
        <f xml:space="preserve">COUNTIFS(B9:B39,"Không đồng ý")</f>
        <v>0</v>
      </c>
      <c r="G5" s="1" t="s">
        <v>6</v>
      </c>
      <c r="H5" s="4">
        <f xml:space="preserve">COUNTBLANK(B9:B39)</f>
        <v>0</v>
      </c>
      <c r="I5" s="1"/>
      <c r="J5" s="1"/>
    </row>
    <row r="6" ht="16.5" customHeight="1" spans="1:10">
      <c r="A6" s="1" t="s">
        <v>7</v>
      </c>
      <c r="B6" s="1"/>
      <c r="C6" s="1"/>
      <c r="D6" s="1"/>
      <c r="E6" s="1"/>
      <c r="F6" s="1"/>
      <c r="G6" s="1"/>
      <c r="H6" s="1"/>
      <c r="I6" s="1"/>
      <c r="J6" s="1"/>
    </row>
    <row r="7" spans="1:10">
      <c r="A7" s="1"/>
      <c r="B7" s="1"/>
      <c r="C7" s="1"/>
      <c r="D7" s="1"/>
      <c r="E7" s="1"/>
      <c r="F7" s="1"/>
      <c r="G7" s="1"/>
      <c r="H7" s="1"/>
      <c r="I7" s="1"/>
      <c r="J7" s="1"/>
    </row>
    <row r="8" ht="27" customHeight="1" spans="1:10">
      <c r="A8" s="5" t="s">
        <v>8</v>
      </c>
      <c r="B8" s="6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7" t="s">
        <v>17</v>
      </c>
    </row>
    <row r="9" ht="84" customHeight="1" spans="1:10">
      <c r="A9" s="8" t="s">
        <v>18</v>
      </c>
      <c r="B9" s="9" t="s">
        <v>4</v>
      </c>
      <c r="C9" s="8" t="s">
        <v>19</v>
      </c>
      <c r="D9" s="8" t="s">
        <v>20</v>
      </c>
      <c r="E9" s="8" t="s">
        <v>21</v>
      </c>
      <c r="F9" s="8" t="s">
        <v>22</v>
      </c>
      <c r="G9" s="8" t="s">
        <v>23</v>
      </c>
      <c r="H9" s="8" t="s">
        <v>24</v>
      </c>
      <c r="I9" s="8" t="s">
        <v>25</v>
      </c>
      <c r="J9" s="10"/>
    </row>
    <row r="10" ht="84" customHeight="1" spans="1:10">
      <c r="A10" s="11" t="s">
        <v>26</v>
      </c>
      <c r="B10" s="12" t="s">
        <v>4</v>
      </c>
      <c r="C10" s="11" t="s">
        <v>19</v>
      </c>
      <c r="D10" s="11" t="s">
        <v>27</v>
      </c>
      <c r="E10" s="11" t="s">
        <v>28</v>
      </c>
      <c r="F10" s="11" t="s">
        <v>29</v>
      </c>
      <c r="G10" s="11" t="s">
        <v>30</v>
      </c>
      <c r="H10" s="11" t="s">
        <v>24</v>
      </c>
      <c r="I10" s="11" t="s">
        <v>31</v>
      </c>
      <c r="J10" s="13"/>
    </row>
    <row r="11" ht="84" customHeight="1" spans="1:10">
      <c r="A11" s="14" t="s">
        <v>32</v>
      </c>
      <c r="B11" s="12" t="s">
        <v>4</v>
      </c>
      <c r="C11" s="14" t="s">
        <v>19</v>
      </c>
      <c r="D11" s="14" t="s">
        <v>33</v>
      </c>
      <c r="E11" s="14" t="s">
        <v>34</v>
      </c>
      <c r="F11" s="14" t="s">
        <v>35</v>
      </c>
      <c r="G11" s="14" t="s">
        <v>36</v>
      </c>
      <c r="H11" s="14" t="s">
        <v>24</v>
      </c>
      <c r="I11" s="14" t="s">
        <v>37</v>
      </c>
      <c r="J11" s="13"/>
    </row>
    <row r="12" ht="84" customHeight="1" spans="1:10">
      <c r="A12" s="11" t="s">
        <v>38</v>
      </c>
      <c r="B12" s="12" t="s">
        <v>4</v>
      </c>
      <c r="C12" s="11" t="s">
        <v>19</v>
      </c>
      <c r="D12" s="11" t="s">
        <v>39</v>
      </c>
      <c r="E12" s="11" t="s">
        <v>40</v>
      </c>
      <c r="F12" s="11" t="s">
        <v>41</v>
      </c>
      <c r="G12" s="11" t="s">
        <v>42</v>
      </c>
      <c r="H12" s="11" t="s">
        <v>43</v>
      </c>
      <c r="I12" s="11" t="s">
        <v>44</v>
      </c>
      <c r="J12" s="13"/>
    </row>
    <row r="13" ht="84" customHeight="1" spans="1:10">
      <c r="A13" s="14" t="s">
        <v>45</v>
      </c>
      <c r="B13" s="12" t="s">
        <v>4</v>
      </c>
      <c r="C13" s="14" t="s">
        <v>19</v>
      </c>
      <c r="D13" s="14" t="s">
        <v>46</v>
      </c>
      <c r="E13" s="14" t="s">
        <v>47</v>
      </c>
      <c r="F13" s="14" t="s">
        <v>48</v>
      </c>
      <c r="G13" s="14" t="s">
        <v>49</v>
      </c>
      <c r="H13" s="14" t="s">
        <v>43</v>
      </c>
      <c r="I13" s="14" t="s">
        <v>50</v>
      </c>
      <c r="J13" s="13"/>
    </row>
    <row r="14" ht="84" customHeight="1" spans="1:10">
      <c r="A14" s="11" t="s">
        <v>51</v>
      </c>
      <c r="B14" s="12" t="s">
        <v>4</v>
      </c>
      <c r="C14" s="11" t="s">
        <v>19</v>
      </c>
      <c r="D14" s="11" t="s">
        <v>52</v>
      </c>
      <c r="E14" s="11" t="s">
        <v>53</v>
      </c>
      <c r="F14" s="11" t="s">
        <v>54</v>
      </c>
      <c r="G14" s="11" t="s">
        <v>55</v>
      </c>
      <c r="H14" s="11" t="s">
        <v>43</v>
      </c>
      <c r="I14" s="11" t="s">
        <v>56</v>
      </c>
      <c r="J14" s="13"/>
    </row>
    <row r="15" ht="84" customHeight="1" spans="1:10">
      <c r="A15" s="8" t="s">
        <v>57</v>
      </c>
      <c r="B15" s="9" t="s">
        <v>4</v>
      </c>
      <c r="C15" s="8" t="s">
        <v>58</v>
      </c>
      <c r="D15" s="8" t="s">
        <v>59</v>
      </c>
      <c r="E15" s="8" t="s">
        <v>60</v>
      </c>
      <c r="F15" s="8" t="s">
        <v>61</v>
      </c>
      <c r="G15" s="8" t="s">
        <v>62</v>
      </c>
      <c r="H15" s="8" t="s">
        <v>24</v>
      </c>
      <c r="I15" s="8" t="s">
        <v>63</v>
      </c>
      <c r="J15" s="10"/>
    </row>
    <row r="16" ht="84" customHeight="1" spans="1:10">
      <c r="A16" s="11" t="s">
        <v>64</v>
      </c>
      <c r="B16" s="12" t="s">
        <v>4</v>
      </c>
      <c r="C16" s="11" t="s">
        <v>58</v>
      </c>
      <c r="D16" s="11" t="s">
        <v>65</v>
      </c>
      <c r="E16" s="11" t="s">
        <v>66</v>
      </c>
      <c r="F16" s="11" t="s">
        <v>67</v>
      </c>
      <c r="G16" s="11" t="s">
        <v>68</v>
      </c>
      <c r="H16" s="11" t="s">
        <v>24</v>
      </c>
      <c r="I16" s="11" t="s">
        <v>69</v>
      </c>
      <c r="J16" s="13"/>
    </row>
    <row r="17" ht="84" customHeight="1" spans="1:10">
      <c r="A17" s="14" t="s">
        <v>70</v>
      </c>
      <c r="B17" s="12" t="s">
        <v>4</v>
      </c>
      <c r="C17" s="14" t="s">
        <v>58</v>
      </c>
      <c r="D17" s="14" t="s">
        <v>71</v>
      </c>
      <c r="E17" s="14" t="s">
        <v>72</v>
      </c>
      <c r="F17" s="14" t="s">
        <v>73</v>
      </c>
      <c r="G17" s="14" t="s">
        <v>74</v>
      </c>
      <c r="H17" s="14" t="s">
        <v>24</v>
      </c>
      <c r="I17" s="14" t="s">
        <v>75</v>
      </c>
      <c r="J17" s="13"/>
    </row>
    <row r="18" ht="84" customHeight="1" spans="1:10">
      <c r="A18" s="11" t="s">
        <v>76</v>
      </c>
      <c r="B18" s="12" t="s">
        <v>4</v>
      </c>
      <c r="C18" s="11" t="s">
        <v>58</v>
      </c>
      <c r="D18" s="11" t="s">
        <v>77</v>
      </c>
      <c r="E18" s="11" t="s">
        <v>78</v>
      </c>
      <c r="F18" s="11" t="s">
        <v>79</v>
      </c>
      <c r="G18" s="11" t="s">
        <v>80</v>
      </c>
      <c r="H18" s="11" t="s">
        <v>24</v>
      </c>
      <c r="I18" s="11" t="s">
        <v>81</v>
      </c>
      <c r="J18" s="13"/>
    </row>
    <row r="19" ht="84" customHeight="1" spans="1:10">
      <c r="A19" s="14" t="s">
        <v>82</v>
      </c>
      <c r="B19" s="12" t="s">
        <v>4</v>
      </c>
      <c r="C19" s="14" t="s">
        <v>58</v>
      </c>
      <c r="D19" s="14" t="s">
        <v>83</v>
      </c>
      <c r="E19" s="14" t="s">
        <v>84</v>
      </c>
      <c r="F19" s="14" t="s">
        <v>85</v>
      </c>
      <c r="G19" s="14" t="s">
        <v>86</v>
      </c>
      <c r="H19" s="14" t="s">
        <v>24</v>
      </c>
      <c r="I19" s="14" t="s">
        <v>76</v>
      </c>
      <c r="J19" s="13"/>
    </row>
    <row r="20" ht="84" customHeight="1" spans="1:10">
      <c r="A20" s="11" t="s">
        <v>87</v>
      </c>
      <c r="B20" s="12" t="s">
        <v>4</v>
      </c>
      <c r="C20" s="11" t="s">
        <v>58</v>
      </c>
      <c r="D20" s="11" t="s">
        <v>88</v>
      </c>
      <c r="E20" s="11" t="s">
        <v>89</v>
      </c>
      <c r="F20" s="11" t="s">
        <v>90</v>
      </c>
      <c r="G20" s="11" t="s">
        <v>91</v>
      </c>
      <c r="H20" s="11" t="s">
        <v>24</v>
      </c>
      <c r="I20" s="11" t="s">
        <v>92</v>
      </c>
      <c r="J20" s="13"/>
    </row>
    <row r="21" ht="84" customHeight="1" spans="1:10">
      <c r="A21" s="14" t="s">
        <v>93</v>
      </c>
      <c r="B21" s="12" t="s">
        <v>4</v>
      </c>
      <c r="C21" s="14" t="s">
        <v>58</v>
      </c>
      <c r="D21" s="14" t="s">
        <v>94</v>
      </c>
      <c r="E21" s="14" t="s">
        <v>95</v>
      </c>
      <c r="F21" s="14" t="s">
        <v>96</v>
      </c>
      <c r="G21" s="14" t="s">
        <v>97</v>
      </c>
      <c r="H21" s="14" t="s">
        <v>24</v>
      </c>
      <c r="I21" s="14" t="s">
        <v>98</v>
      </c>
      <c r="J21" s="13"/>
    </row>
    <row r="22" ht="84" customHeight="1" spans="1:10">
      <c r="A22" s="15" t="s">
        <v>99</v>
      </c>
      <c r="B22" s="9" t="s">
        <v>4</v>
      </c>
      <c r="C22" s="15" t="s">
        <v>100</v>
      </c>
      <c r="D22" s="15" t="s">
        <v>101</v>
      </c>
      <c r="E22" s="15" t="s">
        <v>102</v>
      </c>
      <c r="F22" s="15" t="s">
        <v>103</v>
      </c>
      <c r="G22" s="15" t="s">
        <v>104</v>
      </c>
      <c r="H22" s="15" t="s">
        <v>24</v>
      </c>
      <c r="I22" s="15" t="s">
        <v>105</v>
      </c>
      <c r="J22" s="10"/>
    </row>
    <row r="23" ht="84" customHeight="1" spans="1:10">
      <c r="A23" s="14" t="s">
        <v>106</v>
      </c>
      <c r="B23" s="12" t="s">
        <v>4</v>
      </c>
      <c r="C23" s="14" t="s">
        <v>100</v>
      </c>
      <c r="D23" s="14" t="s">
        <v>107</v>
      </c>
      <c r="E23" s="14" t="s">
        <v>108</v>
      </c>
      <c r="F23" s="14" t="s">
        <v>109</v>
      </c>
      <c r="G23" s="14" t="s">
        <v>110</v>
      </c>
      <c r="H23" s="14" t="s">
        <v>24</v>
      </c>
      <c r="I23" s="14" t="s">
        <v>111</v>
      </c>
      <c r="J23" s="13"/>
    </row>
    <row r="24" ht="84" customHeight="1" spans="1:10">
      <c r="A24" s="11" t="s">
        <v>112</v>
      </c>
      <c r="B24" s="12" t="s">
        <v>4</v>
      </c>
      <c r="C24" s="11" t="s">
        <v>100</v>
      </c>
      <c r="D24" s="11" t="s">
        <v>113</v>
      </c>
      <c r="E24" s="11" t="s">
        <v>114</v>
      </c>
      <c r="F24" s="11" t="s">
        <v>115</v>
      </c>
      <c r="G24" s="11" t="s">
        <v>116</v>
      </c>
      <c r="H24" s="11" t="s">
        <v>24</v>
      </c>
      <c r="I24" s="11" t="s">
        <v>117</v>
      </c>
      <c r="J24" s="13"/>
    </row>
    <row r="25" ht="84" customHeight="1" spans="1:10">
      <c r="A25" s="14" t="s">
        <v>118</v>
      </c>
      <c r="B25" s="12" t="s">
        <v>4</v>
      </c>
      <c r="C25" s="14" t="s">
        <v>100</v>
      </c>
      <c r="D25" s="14" t="s">
        <v>119</v>
      </c>
      <c r="E25" s="14" t="s">
        <v>120</v>
      </c>
      <c r="F25" s="14" t="s">
        <v>121</v>
      </c>
      <c r="G25" s="14" t="s">
        <v>122</v>
      </c>
      <c r="H25" s="14" t="s">
        <v>43</v>
      </c>
      <c r="I25" s="14" t="s">
        <v>123</v>
      </c>
      <c r="J25" s="13"/>
    </row>
    <row r="26" ht="84" customHeight="1" spans="1:10">
      <c r="A26" s="11" t="s">
        <v>124</v>
      </c>
      <c r="B26" s="12" t="s">
        <v>4</v>
      </c>
      <c r="C26" s="11" t="s">
        <v>100</v>
      </c>
      <c r="D26" s="11" t="s">
        <v>125</v>
      </c>
      <c r="E26" s="11" t="s">
        <v>126</v>
      </c>
      <c r="F26" s="11" t="s">
        <v>127</v>
      </c>
      <c r="G26" s="11" t="s">
        <v>128</v>
      </c>
      <c r="H26" s="11" t="s">
        <v>24</v>
      </c>
      <c r="I26" s="11" t="s">
        <v>129</v>
      </c>
      <c r="J26" s="13"/>
    </row>
    <row r="27" ht="84" customHeight="1" spans="1:10">
      <c r="A27" s="8" t="s">
        <v>130</v>
      </c>
      <c r="B27" s="9" t="s">
        <v>4</v>
      </c>
      <c r="C27" s="8" t="s">
        <v>131</v>
      </c>
      <c r="D27" s="8" t="s">
        <v>132</v>
      </c>
      <c r="E27" s="8" t="s">
        <v>133</v>
      </c>
      <c r="F27" s="8" t="s">
        <v>134</v>
      </c>
      <c r="G27" s="8" t="s">
        <v>135</v>
      </c>
      <c r="H27" s="8" t="s">
        <v>24</v>
      </c>
      <c r="I27" s="8" t="s">
        <v>136</v>
      </c>
      <c r="J27" s="10"/>
    </row>
    <row r="28" ht="84" customHeight="1" spans="1:10">
      <c r="A28" s="11" t="s">
        <v>137</v>
      </c>
      <c r="B28" s="12" t="s">
        <v>4</v>
      </c>
      <c r="C28" s="11" t="s">
        <v>131</v>
      </c>
      <c r="D28" s="11" t="s">
        <v>138</v>
      </c>
      <c r="E28" s="11" t="s">
        <v>139</v>
      </c>
      <c r="F28" s="11" t="s">
        <v>140</v>
      </c>
      <c r="G28" s="11" t="s">
        <v>141</v>
      </c>
      <c r="H28" s="11" t="s">
        <v>24</v>
      </c>
      <c r="I28" s="11" t="s">
        <v>142</v>
      </c>
      <c r="J28" s="13"/>
    </row>
    <row r="29" ht="84" customHeight="1" spans="1:10">
      <c r="A29" s="14" t="s">
        <v>143</v>
      </c>
      <c r="B29" s="12" t="s">
        <v>4</v>
      </c>
      <c r="C29" s="14" t="s">
        <v>131</v>
      </c>
      <c r="D29" s="14" t="s">
        <v>144</v>
      </c>
      <c r="E29" s="14" t="s">
        <v>145</v>
      </c>
      <c r="F29" s="14" t="s">
        <v>146</v>
      </c>
      <c r="G29" s="14" t="s">
        <v>147</v>
      </c>
      <c r="H29" s="14" t="s">
        <v>24</v>
      </c>
      <c r="I29" s="14" t="s">
        <v>148</v>
      </c>
      <c r="J29" s="13"/>
    </row>
    <row r="30" ht="84" customHeight="1" spans="1:10">
      <c r="A30" s="11" t="s">
        <v>149</v>
      </c>
      <c r="B30" s="12" t="s">
        <v>4</v>
      </c>
      <c r="C30" s="11" t="s">
        <v>131</v>
      </c>
      <c r="D30" s="11" t="s">
        <v>150</v>
      </c>
      <c r="E30" s="11" t="s">
        <v>151</v>
      </c>
      <c r="F30" s="11" t="s">
        <v>152</v>
      </c>
      <c r="G30" s="11" t="s">
        <v>153</v>
      </c>
      <c r="H30" s="11" t="s">
        <v>24</v>
      </c>
      <c r="I30" s="11" t="s">
        <v>154</v>
      </c>
      <c r="J30" s="13"/>
    </row>
    <row r="31" ht="84" customHeight="1" spans="1:10">
      <c r="A31" s="14" t="s">
        <v>155</v>
      </c>
      <c r="B31" s="12" t="s">
        <v>4</v>
      </c>
      <c r="C31" s="14" t="s">
        <v>131</v>
      </c>
      <c r="D31" s="14" t="s">
        <v>156</v>
      </c>
      <c r="E31" s="14" t="s">
        <v>157</v>
      </c>
      <c r="F31" s="14" t="s">
        <v>158</v>
      </c>
      <c r="G31" s="14" t="s">
        <v>159</v>
      </c>
      <c r="H31" s="14" t="s">
        <v>24</v>
      </c>
      <c r="I31" s="14" t="s">
        <v>160</v>
      </c>
      <c r="J31" s="13"/>
    </row>
    <row r="32" ht="84" customHeight="1" spans="1:10">
      <c r="A32" s="11" t="s">
        <v>161</v>
      </c>
      <c r="B32" s="12" t="s">
        <v>4</v>
      </c>
      <c r="C32" s="11" t="s">
        <v>131</v>
      </c>
      <c r="D32" s="11" t="s">
        <v>162</v>
      </c>
      <c r="E32" s="11" t="s">
        <v>163</v>
      </c>
      <c r="F32" s="11" t="s">
        <v>164</v>
      </c>
      <c r="G32" s="11" t="s">
        <v>165</v>
      </c>
      <c r="H32" s="11" t="s">
        <v>24</v>
      </c>
      <c r="I32" s="11" t="s">
        <v>166</v>
      </c>
      <c r="J32" s="13"/>
    </row>
    <row r="33" ht="84" customHeight="1" spans="1:10">
      <c r="A33" s="14" t="s">
        <v>167</v>
      </c>
      <c r="B33" s="12" t="s">
        <v>4</v>
      </c>
      <c r="C33" s="14" t="s">
        <v>131</v>
      </c>
      <c r="D33" s="14" t="s">
        <v>168</v>
      </c>
      <c r="E33" s="14" t="s">
        <v>169</v>
      </c>
      <c r="F33" s="14" t="s">
        <v>170</v>
      </c>
      <c r="G33" s="14" t="s">
        <v>171</v>
      </c>
      <c r="H33" s="14" t="s">
        <v>24</v>
      </c>
      <c r="I33" s="14" t="s">
        <v>172</v>
      </c>
      <c r="J33" s="13"/>
    </row>
    <row r="34" ht="84" customHeight="1" spans="1:10">
      <c r="A34" s="15" t="s">
        <v>173</v>
      </c>
      <c r="B34" s="12" t="s">
        <v>4</v>
      </c>
      <c r="C34" s="15" t="s">
        <v>174</v>
      </c>
      <c r="D34" s="15" t="s">
        <v>175</v>
      </c>
      <c r="E34" s="15" t="s">
        <v>176</v>
      </c>
      <c r="F34" s="15" t="s">
        <v>177</v>
      </c>
      <c r="G34" s="15" t="s">
        <v>178</v>
      </c>
      <c r="H34" s="15" t="s">
        <v>24</v>
      </c>
      <c r="I34" s="15" t="s">
        <v>179</v>
      </c>
      <c r="J34" s="10"/>
    </row>
    <row r="35" ht="84" customHeight="1" spans="1:10">
      <c r="A35" s="14" t="s">
        <v>180</v>
      </c>
      <c r="B35" s="12" t="s">
        <v>4</v>
      </c>
      <c r="C35" s="14" t="s">
        <v>174</v>
      </c>
      <c r="D35" s="14" t="s">
        <v>181</v>
      </c>
      <c r="E35" s="14" t="s">
        <v>182</v>
      </c>
      <c r="F35" s="14" t="s">
        <v>183</v>
      </c>
      <c r="G35" s="14" t="s">
        <v>184</v>
      </c>
      <c r="H35" s="14" t="s">
        <v>24</v>
      </c>
      <c r="I35" s="14" t="s">
        <v>185</v>
      </c>
      <c r="J35" s="13"/>
    </row>
    <row r="36" ht="84" customHeight="1" spans="1:10">
      <c r="A36" s="11" t="s">
        <v>186</v>
      </c>
      <c r="B36" s="12" t="s">
        <v>4</v>
      </c>
      <c r="C36" s="11" t="s">
        <v>174</v>
      </c>
      <c r="D36" s="11" t="s">
        <v>187</v>
      </c>
      <c r="E36" s="11" t="s">
        <v>188</v>
      </c>
      <c r="F36" s="11" t="s">
        <v>189</v>
      </c>
      <c r="G36" s="11" t="s">
        <v>190</v>
      </c>
      <c r="H36" s="11" t="s">
        <v>24</v>
      </c>
      <c r="I36" s="11" t="s">
        <v>180</v>
      </c>
      <c r="J36" s="13"/>
    </row>
    <row r="37" ht="84" customHeight="1" spans="1:10">
      <c r="A37" s="14" t="s">
        <v>191</v>
      </c>
      <c r="B37" s="12" t="s">
        <v>4</v>
      </c>
      <c r="C37" s="14" t="s">
        <v>174</v>
      </c>
      <c r="D37" s="14" t="s">
        <v>192</v>
      </c>
      <c r="E37" s="14" t="s">
        <v>193</v>
      </c>
      <c r="F37" s="14" t="s">
        <v>194</v>
      </c>
      <c r="G37" s="14" t="s">
        <v>195</v>
      </c>
      <c r="H37" s="14" t="s">
        <v>24</v>
      </c>
      <c r="I37" s="14" t="s">
        <v>180</v>
      </c>
      <c r="J37" s="13"/>
    </row>
    <row r="38" ht="84" customHeight="1" spans="1:10">
      <c r="A38" s="11" t="s">
        <v>196</v>
      </c>
      <c r="B38" s="12" t="s">
        <v>4</v>
      </c>
      <c r="C38" s="11" t="s">
        <v>174</v>
      </c>
      <c r="D38" s="11" t="s">
        <v>197</v>
      </c>
      <c r="E38" s="11" t="s">
        <v>198</v>
      </c>
      <c r="F38" s="11" t="s">
        <v>199</v>
      </c>
      <c r="G38" s="11" t="s">
        <v>200</v>
      </c>
      <c r="H38" s="11" t="s">
        <v>24</v>
      </c>
      <c r="I38" s="11" t="s">
        <v>191</v>
      </c>
      <c r="J38" s="13"/>
    </row>
    <row r="39" ht="84" customHeight="1" spans="1:10">
      <c r="A39" s="14" t="s">
        <v>201</v>
      </c>
      <c r="B39" s="12" t="s">
        <v>4</v>
      </c>
      <c r="C39" s="14" t="s">
        <v>174</v>
      </c>
      <c r="D39" s="14" t="s">
        <v>202</v>
      </c>
      <c r="E39" s="14" t="s">
        <v>203</v>
      </c>
      <c r="F39" s="14" t="s">
        <v>204</v>
      </c>
      <c r="G39" s="14" t="s">
        <v>205</v>
      </c>
      <c r="H39" s="14" t="s">
        <v>43</v>
      </c>
      <c r="I39" s="14" t="s">
        <v>206</v>
      </c>
      <c r="J39" s="13"/>
    </row>
  </sheetData>
  <conditionalFormatting sqref="B9:B39">
    <cfRule type="cellIs" dxfId="0" priority="1" operator="equal">
      <formula>"Đồng ý"</formula>
    </cfRule>
    <cfRule type="cellIs" dxfId="1" priority="2" operator="equal">
      <formula>"Không đồng ý"</formula>
    </cfRule>
  </conditionalFormatting>
  <dataValidations count="1">
    <dataValidation type="list" showErrorMessage="1" errorTitle="Quyết định PO không hợp lệ" error="Chỉ chọn Đồng ý hoặc Không đồng ý. Xóa giá trị để để trống khi chưa duyệt." sqref="B9:B29 B30:B39">
      <formula1>"Đồng ý,Không đồng ý"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 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Nhựt Huy</cp:lastModifiedBy>
  <dcterms:created xsi:type="dcterms:W3CDTF">2026-10-18T14:14:39Z</dcterms:created>
  <dcterms:modified xsi:type="dcterms:W3CDTF">2026-10-18T14:49:40Z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E74621E555534DFCA719BF69589B0A6E_12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